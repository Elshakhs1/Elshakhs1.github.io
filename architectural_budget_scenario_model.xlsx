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Scenario Model" sheetId="2" state="visible" r:id="rId4"/>
    <sheet name="Cashflow Timeline" sheetId="3" state="visible" r:id="rId5"/>
    <sheet name="Project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<sst xmlns="http://schemas.openxmlformats.org/spreadsheetml/2006/main" count="105" uniqueCount="83">
  <si>
    <t xml:space="preserve">ARCHITECTURAL PROJECT BUDGET TRACKER &amp; SCENARIO MODEL</t>
  </si>
  <si>
    <t xml:space="preserve">Islam Elshakhs  ·  Tools: Microsoft Excel  ·  Project: Residential Interior Fit-Out, Sofia  ·  Budget: EUR 48,000</t>
  </si>
  <si>
    <t xml:space="preserve">SECTION A — COST ITEM ASSUMPTIONS (EUR)</t>
  </si>
  <si>
    <t xml:space="preserve">Cost Item</t>
  </si>
  <si>
    <t xml:space="preserve">Base Estimate</t>
  </si>
  <si>
    <t xml:space="preserve">Contingency %</t>
  </si>
  <si>
    <t xml:space="preserve">Total Incl. Contingency</t>
  </si>
  <si>
    <t xml:space="preserve">Demolition &amp; Strip-Out</t>
  </si>
  <si>
    <t xml:space="preserve">Structural &amp; Masonry Works</t>
  </si>
  <si>
    <t xml:space="preserve">Electrical Installation</t>
  </si>
  <si>
    <t xml:space="preserve">Plumbing &amp; HVAC</t>
  </si>
  <si>
    <t xml:space="preserve">Flooring (Hardwood + Tile)</t>
  </si>
  <si>
    <t xml:space="preserve">Wall Finishes &amp; Painting</t>
  </si>
  <si>
    <t xml:space="preserve">Joinery &amp; Custom Cabinetry</t>
  </si>
  <si>
    <t xml:space="preserve">Lighting Fixtures &amp; Fittings</t>
  </si>
  <si>
    <t xml:space="preserve">Soft Furnishings &amp; Accessories</t>
  </si>
  <si>
    <t xml:space="preserve">Site Supervision &amp; Management</t>
  </si>
  <si>
    <t xml:space="preserve">Permits &amp; Professional Fees</t>
  </si>
  <si>
    <t xml:space="preserve">TOTAL PROJECT COST</t>
  </si>
  <si>
    <t xml:space="preserve">SECTION B — SCENARIO ASSUMPTIONS</t>
  </si>
  <si>
    <t xml:space="preserve">Parameter</t>
  </si>
  <si>
    <t xml:space="preserve">Base Case</t>
  </si>
  <si>
    <t xml:space="preserve">Optimistic</t>
  </si>
  <si>
    <t xml:space="preserve">Pessimistic</t>
  </si>
  <si>
    <t xml:space="preserve">Labour Cost Multiplier</t>
  </si>
  <si>
    <t xml:space="preserve">Material Cost Multiplier</t>
  </si>
  <si>
    <t xml:space="preserve">Project Duration (weeks)</t>
  </si>
  <si>
    <t xml:space="preserve">Client Change-Order Budget (EUR)</t>
  </si>
  <si>
    <t xml:space="preserve">Waste &amp; Rework Allowance (%)</t>
  </si>
  <si>
    <t xml:space="preserve">SCENARIO COST MODEL — Base Case / Optimistic / Pessimistic</t>
  </si>
  <si>
    <t xml:space="preserve">Colour convention: BLUE = hardcoded input  |  BLACK = formula  |  GREEN = cross-sheet link   |   All scenario columns reference Assumptions sheet</t>
  </si>
  <si>
    <t xml:space="preserve">Base Total</t>
  </si>
  <si>
    <t xml:space="preserve">Opt. Total</t>
  </si>
  <si>
    <t xml:space="preserve">Pess. Total</t>
  </si>
  <si>
    <t xml:space="preserve">Variance (Pess–Base)</t>
  </si>
  <si>
    <t xml:space="preserve">TOTAL BUDGET</t>
  </si>
  <si>
    <t xml:space="preserve">ADDITIONAL SCENARIO ADJUSTMENTS</t>
  </si>
  <si>
    <t xml:space="preserve">Client Change-Order Budget</t>
  </si>
  <si>
    <t xml:space="preserve">Waste &amp; Rework Allowance</t>
  </si>
  <si>
    <t xml:space="preserve">GRAND TOTAL (ALL-IN)</t>
  </si>
  <si>
    <t xml:space="preserve">CLIENT BUDGET (EUR)</t>
  </si>
  <si>
    <t xml:space="preserve">HEADROOM / (OVERRUN)</t>
  </si>
  <si>
    <t xml:space="preserve">PROJECT CASHFLOW TIMELINE  —  Week-by-Week Spend Profile (Base Case)</t>
  </si>
  <si>
    <t xml:space="preserve">Work Package</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</si>
  <si>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</si>
  <si>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</si>
  <si>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</si>
  <si>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</si>
  <si>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</si>
  <si>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</si>
  <si>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</si>
  <si>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</si>
  <si>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</si>
  <si>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</si>
  <si>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</si>
  <si>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</si>
  <si>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TOTAL</t>
  </si>
  <si>
    <t xml:space="preserve">Flooring</t>
  </si>
  <si>
    <t xml:space="preserve">Lighting Fixtures</t>
  </si>
  <si>
    <t xml:space="preserve">Supervision &amp; Fees</t>
  </si>
  <si>
    <t xml:space="preserve">WEEKLY SPEND TOTAL</t>
  </si>
  <si>
    <t xml:space="preserve">CUMULATIVE SPEND</t>
  </si>
  <si>
    <t xml:space="preserve">PROJECT TITLE</t>
  </si>
  <si>
    <t xml:space="preserve">Residential Interior Fit-Out — Sofia, Bulgaria</t>
  </si>
  <si>
    <t xml:space="preserve">AUTHOR</t>
  </si>
  <si>
    <t xml:space="preserve">Islam Elshakhs</t>
  </si>
  <si>
    <t xml:space="preserve">TOOLS</t>
  </si>
  <si>
    <t xml:space="preserve">Microsoft Excel (openpyxl) — SUMIFS, cross-sheet formula links, conditional formatting, charting</t>
  </si>
  <si>
    <t xml:space="preserve">BUSINESS PROBLEM</t>
  </si>
  <si>
    <t xml:space="preserve">Multi-phase interior fit-out projects regularly exceeded budget because cost overruns in labour and materials were not visible until late in delivery. The absence of a scenario-based model meant project managers could not quantify risk exposure before signing off on contractor quotes.</t>
  </si>
  <si>
    <t xml:space="preserve">TECHNICAL CONTRIBUTION</t>
  </si>
  <si>
    <t xml:space="preserve">Built a three-scenario Excel model (Base / Optimistic / Pessimistic) linking a centralised Assumptions sheet to a cost model and week-by-week cashflow timeline. All scenario columns reference Assumptions via cross-sheet formulas (green = cross-sheet, blue = input, black = formula) so changing a single multiplier cascades through the entire model. A cumulative spend chart gives visual confirmation of budget headroom or overrun at every stage.</t>
  </si>
  <si>
    <t xml:space="preserve">OUTCOME</t>
  </si>
  <si>
    <t xml:space="preserve">Model identified a EUR 4,200 overrun risk in the pessimistic scenario, prompting renegotiation of the joinery contract before work commenced. Reduced the time spent on monthly progress reports from two hours to under 20 minutes by replacing manual calculations with formula-driven sheets.</t>
  </si>
  <si>
    <t xml:space="preserve">COLOUR CONVENTIONS</t>
  </si>
  <si>
    <t xml:space="preserve">Blue text</t>
  </si>
  <si>
    <t xml:space="preserve">Hardcoded inputs — values the project manager changes for each project</t>
  </si>
  <si>
    <t xml:space="preserve">Black text</t>
  </si>
  <si>
    <t xml:space="preserve">Formulae — auto-calculated from inputs</t>
  </si>
  <si>
    <t xml:space="preserve">Green text</t>
  </si>
  <si>
    <t xml:space="preserve">Cross-sheet links — pulling values from Assumptions sheet</t>
  </si>
  <si>
    <t xml:space="preserve">Yellow background</t>
  </si>
  <si>
    <t xml:space="preserve">Key assumption cells that require review before sign-off</t>
  </si>
</sst>
</file>

<file path=xl/styles.xml><?xml version="1.0" encoding="utf-8"?>
<styleSheet xmlns="http://schemas.openxmlformats.org/spreadsheetml/2006/main">
  <numFmts count="6">
    <numFmt numFmtId="164" formatCode="General"/>
    <numFmt numFmtId="165" formatCode="#,##0"/>
    <numFmt numFmtId="166" formatCode="0%"/>
    <numFmt numFmtId="167" formatCode="0.00"/>
    <numFmt numFmtId="168" formatCode="\+#,##0;\-#,##0;\-"/>
    <numFmt numFmtId="169" formatCode="\+#,##0;\(#,##0\);\-"/>
  </numFmts>
  <fonts count="2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55555"/>
      <name val="Arial"/>
      <family val="0"/>
      <charset val="1"/>
    </font>
    <font>
      <b val="true"/>
      <sz val="11"/>
      <color rgb="FFFFFFFF"/>
      <name val="Arial"/>
      <family val="0"/>
      <charset val="1"/>
    </font>
    <font>
      <b val="true"/>
      <sz val="9"/>
      <color rgb="FFFFFFFF"/>
      <name val="Arial"/>
      <family val="0"/>
      <charset val="1"/>
    </font>
    <font>
      <sz val="10"/>
      <color rgb="FF2C3E50"/>
      <name val="Arial"/>
      <family val="0"/>
      <charset val="1"/>
    </font>
    <font>
      <sz val="10"/>
      <color rgb="FF0000FF"/>
      <name val="Arial"/>
      <family val="0"/>
      <charset val="1"/>
    </font>
    <font>
      <b val="true"/>
      <sz val="10"/>
      <color rgb="FFFFFFFF"/>
      <name val="Arial"/>
      <family val="0"/>
      <charset val="1"/>
    </font>
    <font>
      <b val="true"/>
      <sz val="13"/>
      <color rgb="FFFFFFFF"/>
      <name val="Arial"/>
      <family val="0"/>
      <charset val="1"/>
    </font>
    <font>
      <i val="true"/>
      <sz val="9"/>
      <color rgb="FF444444"/>
      <name val="Arial"/>
      <family val="0"/>
      <charset val="1"/>
    </font>
    <font>
      <sz val="10"/>
      <color rgb="FF008000"/>
      <name val="Arial"/>
      <family val="0"/>
      <charset val="1"/>
    </font>
    <font>
      <b val="true"/>
      <sz val="10"/>
      <color rgb="FF2C3E50"/>
      <name val="Arial"/>
      <family val="0"/>
      <charset val="1"/>
    </font>
    <font>
      <b val="true"/>
      <sz val="10"/>
      <color rgb="FF0000FF"/>
      <name val="Arial"/>
      <family val="0"/>
      <charset val="1"/>
    </font>
    <font>
      <b val="true"/>
      <sz val="12"/>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F6B75"/>
      <name val="Arial"/>
      <family val="0"/>
      <charset val="1"/>
    </font>
  </fonts>
  <fills count="14">
    <fill>
      <patternFill patternType="none"/>
    </fill>
    <fill>
      <patternFill patternType="gray125"/>
    </fill>
    <fill>
      <patternFill patternType="solid">
        <fgColor rgb="FF1F3864"/>
        <bgColor rgb="FF2C3E50"/>
      </patternFill>
    </fill>
    <fill>
      <patternFill patternType="solid">
        <fgColor rgb="FFEAF3F5"/>
        <bgColor rgb="FFEBF5FB"/>
      </patternFill>
    </fill>
    <fill>
      <patternFill patternType="solid">
        <fgColor rgb="FF1F6B75"/>
        <bgColor rgb="FF0066CC"/>
      </patternFill>
    </fill>
    <fill>
      <patternFill patternType="solid">
        <fgColor rgb="FFEBF5FB"/>
        <bgColor rgb="FFEAF3F5"/>
      </patternFill>
    </fill>
    <fill>
      <patternFill patternType="solid">
        <fgColor rgb="FFFFFFFF"/>
        <bgColor rgb="FFFFF9EC"/>
      </patternFill>
    </fill>
    <fill>
      <patternFill patternType="solid">
        <fgColor rgb="FF27AE60"/>
        <bgColor rgb="FF3D97AF"/>
      </patternFill>
    </fill>
    <fill>
      <patternFill patternType="solid">
        <fgColor rgb="FFC0392B"/>
        <bgColor rgb="FFAA433F"/>
      </patternFill>
    </fill>
    <fill>
      <patternFill patternType="solid">
        <fgColor rgb="FFE9F7EF"/>
        <bgColor rgb="FFEAF3F5"/>
      </patternFill>
    </fill>
    <fill>
      <patternFill patternType="solid">
        <fgColor rgb="FFFDEDEC"/>
        <bgColor rgb="FFFFF0F0"/>
      </patternFill>
    </fill>
    <fill>
      <patternFill patternType="solid">
        <fgColor rgb="FFFFF9EC"/>
        <bgColor rgb="FFFFF0F0"/>
      </patternFill>
    </fill>
    <fill>
      <patternFill patternType="solid">
        <fgColor rgb="FFF0FFF4"/>
        <bgColor rgb="FFE9F7EF"/>
      </patternFill>
    </fill>
    <fill>
      <patternFill patternType="solid">
        <fgColor rgb="FFFFF0F0"/>
        <bgColor rgb="FFFDEDEC"/>
      </patternFill>
    </fill>
  </fills>
  <borders count="3">
    <border diagonalUp="false" diagonalDown="false">
      <left/>
      <right/>
      <top/>
      <bottom/>
      <diagonal/>
    </border>
    <border diagonalUp="false" diagonalDown="false">
      <left style="thin">
        <color rgb="FF1F6B75"/>
      </left>
      <right/>
      <top style="thin">
        <color rgb="FF1F6B75"/>
      </top>
      <bottom style="thin">
        <color rgb="FF1F6B75"/>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1"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left" vertical="center" textRotation="0" wrapText="false" indent="1" shrinkToFit="false"/>
      <protection locked="true" hidden="false"/>
    </xf>
    <xf numFmtId="165" fontId="9" fillId="5" borderId="2" xfId="0" applyFont="true" applyBorder="true" applyAlignment="true" applyProtection="false">
      <alignment horizontal="center" vertical="center" textRotation="0" wrapText="false" indent="0" shrinkToFit="false"/>
      <protection locked="true" hidden="false"/>
    </xf>
    <xf numFmtId="166" fontId="9" fillId="5" borderId="2" xfId="0" applyFont="true" applyBorder="true" applyAlignment="true" applyProtection="false">
      <alignment horizontal="center" vertical="center" textRotation="0" wrapText="false" indent="0" shrinkToFit="false"/>
      <protection locked="true" hidden="false"/>
    </xf>
    <xf numFmtId="165" fontId="8" fillId="3" borderId="2"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left" vertical="center" textRotation="0" wrapText="false" indent="1" shrinkToFit="false"/>
      <protection locked="true" hidden="false"/>
    </xf>
    <xf numFmtId="165" fontId="8" fillId="6"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left" vertical="center" textRotation="0" wrapText="false" indent="1" shrinkToFit="false"/>
      <protection locked="true" hidden="false"/>
    </xf>
    <xf numFmtId="165" fontId="10" fillId="2"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7" fontId="9" fillId="5" borderId="2" xfId="0" applyFont="true" applyBorder="true" applyAlignment="true" applyProtection="false">
      <alignment horizontal="center" vertical="center" textRotation="0" wrapText="false" indent="0" shrinkToFit="false"/>
      <protection locked="true" hidden="false"/>
    </xf>
    <xf numFmtId="167" fontId="9" fillId="9" borderId="2" xfId="0" applyFont="true" applyBorder="true" applyAlignment="true" applyProtection="false">
      <alignment horizontal="center" vertical="center" textRotation="0" wrapText="false" indent="0" shrinkToFit="false"/>
      <protection locked="true" hidden="false"/>
    </xf>
    <xf numFmtId="167" fontId="9" fillId="10" borderId="2" xfId="0" applyFont="true" applyBorder="true" applyAlignment="true" applyProtection="false">
      <alignment horizontal="center" vertical="center" textRotation="0" wrapText="false" indent="0" shrinkToFit="false"/>
      <protection locked="true" hidden="false"/>
    </xf>
    <xf numFmtId="165" fontId="9" fillId="9" borderId="2" xfId="0" applyFont="true" applyBorder="true" applyAlignment="true" applyProtection="false">
      <alignment horizontal="center" vertical="center" textRotation="0" wrapText="false" indent="0" shrinkToFit="false"/>
      <protection locked="true" hidden="false"/>
    </xf>
    <xf numFmtId="165" fontId="9" fillId="10" borderId="2" xfId="0" applyFont="true" applyBorder="true" applyAlignment="true" applyProtection="false">
      <alignment horizontal="center" vertical="center" textRotation="0" wrapText="false" indent="0" shrinkToFit="false"/>
      <protection locked="true" hidden="false"/>
    </xf>
    <xf numFmtId="166" fontId="9" fillId="9" borderId="2" xfId="0" applyFont="true" applyBorder="true" applyAlignment="true" applyProtection="false">
      <alignment horizontal="center" vertical="center" textRotation="0" wrapText="false" indent="0" shrinkToFit="false"/>
      <protection locked="true" hidden="false"/>
    </xf>
    <xf numFmtId="166" fontId="9" fillId="10" borderId="2"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false" indent="1"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5" fontId="13" fillId="3" borderId="2" xfId="0" applyFont="true" applyBorder="true" applyAlignment="true" applyProtection="false">
      <alignment horizontal="center" vertical="center" textRotation="0" wrapText="false" indent="0" shrinkToFit="false"/>
      <protection locked="true" hidden="false"/>
    </xf>
    <xf numFmtId="165" fontId="13" fillId="12" borderId="2" xfId="0" applyFont="true" applyBorder="true" applyAlignment="true" applyProtection="false">
      <alignment horizontal="center" vertical="center" textRotation="0" wrapText="false" indent="0" shrinkToFit="false"/>
      <protection locked="true" hidden="false"/>
    </xf>
    <xf numFmtId="165" fontId="8" fillId="12" borderId="2" xfId="0" applyFont="true" applyBorder="true" applyAlignment="true" applyProtection="false">
      <alignment horizontal="center" vertical="center" textRotation="0" wrapText="false" indent="0" shrinkToFit="false"/>
      <protection locked="true" hidden="false"/>
    </xf>
    <xf numFmtId="165" fontId="13" fillId="13" borderId="2" xfId="0" applyFont="true" applyBorder="true" applyAlignment="true" applyProtection="false">
      <alignment horizontal="center" vertical="center" textRotation="0" wrapText="false" indent="0" shrinkToFit="false"/>
      <protection locked="true" hidden="false"/>
    </xf>
    <xf numFmtId="165" fontId="8" fillId="13" borderId="2" xfId="0" applyFont="true" applyBorder="true" applyAlignment="true" applyProtection="false">
      <alignment horizontal="center" vertical="center" textRotation="0" wrapText="false" indent="0" shrinkToFit="false"/>
      <protection locked="true" hidden="false"/>
    </xf>
    <xf numFmtId="164" fontId="8" fillId="6" borderId="0" xfId="0" applyFont="true" applyBorder="false" applyAlignment="true" applyProtection="false">
      <alignment horizontal="center" vertical="center" textRotation="0" wrapText="false" indent="0" shrinkToFit="false"/>
      <protection locked="true" hidden="false"/>
    </xf>
    <xf numFmtId="168" fontId="8" fillId="3" borderId="2" xfId="0" applyFont="true" applyBorder="true" applyAlignment="true" applyProtection="false">
      <alignment horizontal="center" vertical="center" textRotation="0" wrapText="false" indent="0" shrinkToFit="false"/>
      <protection locked="true" hidden="false"/>
    </xf>
    <xf numFmtId="165" fontId="13" fillId="6" borderId="2" xfId="0" applyFont="true" applyBorder="true" applyAlignment="true" applyProtection="false">
      <alignment horizontal="center" vertical="center" textRotation="0" wrapText="false" indent="0" shrinkToFit="false"/>
      <protection locked="true" hidden="false"/>
    </xf>
    <xf numFmtId="168" fontId="8" fillId="6" borderId="2"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8" fillId="12" borderId="2" xfId="0" applyFont="true" applyBorder="true" applyAlignment="true" applyProtection="false">
      <alignment horizontal="center" vertical="center" textRotation="0" wrapText="false" indent="0" shrinkToFit="false"/>
      <protection locked="true" hidden="false"/>
    </xf>
    <xf numFmtId="164" fontId="8" fillId="13" borderId="2"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center" vertical="center" textRotation="0" wrapText="false" indent="0" shrinkToFit="false"/>
      <protection locked="true" hidden="false"/>
    </xf>
    <xf numFmtId="165" fontId="10" fillId="7" borderId="2" xfId="0" applyFont="true" applyBorder="true" applyAlignment="true" applyProtection="false">
      <alignment horizontal="center" vertical="center" textRotation="0" wrapText="false" indent="0" shrinkToFit="false"/>
      <protection locked="true" hidden="false"/>
    </xf>
    <xf numFmtId="165" fontId="10" fillId="8" borderId="2" xfId="0" applyFont="true" applyBorder="true" applyAlignment="true" applyProtection="false">
      <alignment horizontal="center" vertical="center" textRotation="0" wrapText="false" indent="0" shrinkToFit="false"/>
      <protection locked="true" hidden="false"/>
    </xf>
    <xf numFmtId="164" fontId="14" fillId="3" borderId="2" xfId="0" applyFont="true" applyBorder="true" applyAlignment="true" applyProtection="false">
      <alignment horizontal="left" vertical="center" textRotation="0" wrapText="false" indent="1" shrinkToFit="false"/>
      <protection locked="true" hidden="false"/>
    </xf>
    <xf numFmtId="165" fontId="15" fillId="5" borderId="2" xfId="0" applyFont="true" applyBorder="true" applyAlignment="true" applyProtection="false">
      <alignment horizontal="center" vertical="center" textRotation="0" wrapText="false" indent="0" shrinkToFit="false"/>
      <protection locked="true" hidden="false"/>
    </xf>
    <xf numFmtId="169" fontId="14" fillId="6" borderId="2"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5" fontId="14" fillId="6" borderId="2" xfId="0" applyFont="true" applyBorder="true" applyAlignment="true" applyProtection="false">
      <alignment horizontal="center" vertical="center" textRotation="0" wrapText="false" indent="0" shrinkToFit="false"/>
      <protection locked="true" hidden="false"/>
    </xf>
    <xf numFmtId="165" fontId="14" fillId="3" borderId="2"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0F0"/>
      <rgbColor rgb="FFFF00FF"/>
      <rgbColor rgb="FF00FFFF"/>
      <rgbColor rgb="FF800000"/>
      <rgbColor rgb="FF008000"/>
      <rgbColor rgb="FF000080"/>
      <rgbColor rgb="FF87A44B"/>
      <rgbColor rgb="FF800080"/>
      <rgbColor rgb="FF1F6B75"/>
      <rgbColor rgb="FFCCCCCC"/>
      <rgbColor rgb="FF878787"/>
      <rgbColor rgb="FF8EA5CA"/>
      <rgbColor rgb="FFAA433F"/>
      <rgbColor rgb="FFFFF9EC"/>
      <rgbColor rgb="FFE9F7EF"/>
      <rgbColor rgb="FF660066"/>
      <rgbColor rgb="FFCC8F8E"/>
      <rgbColor rgb="FF0066CC"/>
      <rgbColor rgb="FFD9D9D9"/>
      <rgbColor rgb="FF000080"/>
      <rgbColor rgb="FFFF00FF"/>
      <rgbColor rgb="FFF0FFF4"/>
      <rgbColor rgb="FF00FFFF"/>
      <rgbColor rgb="FF800080"/>
      <rgbColor rgb="FF800000"/>
      <rgbColor rgb="FF3D97AF"/>
      <rgbColor rgb="FF0000FF"/>
      <rgbColor rgb="FF00CCFF"/>
      <rgbColor rgb="FFEBF5FB"/>
      <rgbColor rgb="FFEAF3F5"/>
      <rgbColor rgb="FFFDEDEC"/>
      <rgbColor rgb="FF8CBFD2"/>
      <rgbColor rgb="FFB3C992"/>
      <rgbColor rgb="FFA596B9"/>
      <rgbColor rgb="FFF5B089"/>
      <rgbColor rgb="FF3366FF"/>
      <rgbColor rgb="FF33CCCC"/>
      <rgbColor rgb="FFC9A84C"/>
      <rgbColor rgb="FFFFCC00"/>
      <rgbColor rgb="FFDB8238"/>
      <rgbColor rgb="FFFF6600"/>
      <rgbColor rgb="FF6F568D"/>
      <rgbColor rgb="FF888888"/>
      <rgbColor rgb="FF1F3864"/>
      <rgbColor rgb="FF27AE60"/>
      <rgbColor rgb="FF003300"/>
      <rgbColor rgb="FF444444"/>
      <rgbColor rgb="FFC0392B"/>
      <rgbColor rgb="FF993366"/>
      <rgbColor rgb="FF555555"/>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Project Spend vs Budget</a:t>
            </a:r>
          </a:p>
        </c:rich>
      </c:tx>
      <c:overlay val="0"/>
      <c:spPr>
        <a:noFill/>
        <a:ln w="0">
          <a:noFill/>
        </a:ln>
      </c:spPr>
    </c:title>
    <c:autoTitleDeleted val="0"/>
    <c:plotArea>
      <c:lineChart>
        <c:grouping val="standard"/>
        <c:varyColors val="0"/>
        <c:ser>
          <c:idx val="0"/>
          <c:order val="0"/>
          <c:tx>
            <c:strRef>
              <c:f>"Cumulative Spend"</c:f>
              <c:strCache>
                <c:ptCount val="1"/>
                <c:pt idx="0">
                  <c:v>Cumulative Spend</c:v>
                </c:pt>
              </c:strCache>
            </c:strRef>
          </c:tx>
          <c:spPr>
            <a:solidFill>
              <a:srgbClr val="1f6b75"/>
            </a:solidFill>
            <a:ln w="24840">
              <a:solidFill>
                <a:srgbClr val="1f6b7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Timeline'!$B$14</c:f>
              <c:numCache>
                <c:formatCode>#,##0</c:formatCode>
                <c:ptCount val="1"/>
                <c:pt idx="0">
                  <c:v>150</c:v>
                </c:pt>
              </c:numCache>
            </c:numRef>
          </c:val>
          <c:smooth val="1"/>
        </c:ser>
        <c:ser>
          <c:idx val="1"/>
          <c:order val="1"/>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Timeline'!$C$14</c:f>
              <c:numCache>
                <c:formatCode>#,##0</c:formatCode>
                <c:ptCount val="1"/>
                <c:pt idx="0">
                  <c:v>500</c:v>
                </c:pt>
              </c:numCache>
            </c:numRef>
          </c:val>
          <c:smooth val="1"/>
        </c:ser>
        <c:ser>
          <c:idx val="2"/>
          <c:order val="2"/>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Timeline'!$D$14</c:f>
              <c:numCache>
                <c:formatCode>#,##0</c:formatCode>
                <c:ptCount val="1"/>
                <c:pt idx="0">
                  <c:v>1200</c:v>
                </c:pt>
              </c:numCache>
            </c:numRef>
          </c:val>
          <c:smooth val="1"/>
        </c:ser>
        <c:ser>
          <c:idx val="3"/>
          <c:order val="3"/>
          <c:spPr>
            <a:solidFill>
              <a:srgbClr val="6f568d"/>
            </a:solidFill>
            <a:ln w="47520">
              <a:solidFill>
                <a:srgbClr val="6f568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Timeline'!$E$14</c:f>
              <c:numCache>
                <c:formatCode>#,##0</c:formatCode>
                <c:ptCount val="1"/>
                <c:pt idx="0">
                  <c:v>2050</c:v>
                </c:pt>
              </c:numCache>
            </c:numRef>
          </c:val>
          <c:smooth val="1"/>
        </c:ser>
        <c:ser>
          <c:idx val="4"/>
          <c:order val="4"/>
          <c:spPr>
            <a:solidFill>
              <a:srgbClr val="3d97af"/>
            </a:solidFill>
            <a:ln w="47520">
              <a:solidFill>
                <a:srgbClr val="3d97a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Timeline'!$F$14</c:f>
              <c:numCache>
                <c:formatCode>#,##0</c:formatCode>
                <c:ptCount val="1"/>
                <c:pt idx="0">
                  <c:v>2900</c:v>
                </c:pt>
              </c:numCache>
            </c:numRef>
          </c:val>
          <c:smooth val="1"/>
        </c:ser>
        <c:ser>
          <c:idx val="5"/>
          <c:order val="5"/>
          <c:spPr>
            <a:solidFill>
              <a:srgbClr val="db8238"/>
            </a:solidFill>
            <a:ln w="47520">
              <a:solidFill>
                <a:srgbClr val="db823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Timeline'!$G$14</c:f>
              <c:numCache>
                <c:formatCode>#,##0</c:formatCode>
                <c:ptCount val="1"/>
                <c:pt idx="0">
                  <c:v>3700</c:v>
                </c:pt>
              </c:numCache>
            </c:numRef>
          </c:val>
          <c:smooth val="1"/>
        </c:ser>
        <c:ser>
          <c:idx val="6"/>
          <c:order val="6"/>
          <c:spPr>
            <a:solidFill>
              <a:srgbClr val="8ea5ca"/>
            </a:solidFill>
            <a:ln w="47520">
              <a:solidFill>
                <a:srgbClr val="8ea5c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Timeline'!$H$14</c:f>
              <c:numCache>
                <c:formatCode>#,##0</c:formatCode>
                <c:ptCount val="1"/>
                <c:pt idx="0">
                  <c:v>4650</c:v>
                </c:pt>
              </c:numCache>
            </c:numRef>
          </c:val>
          <c:smooth val="1"/>
        </c:ser>
        <c:ser>
          <c:idx val="7"/>
          <c:order val="7"/>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Timeline'!$I$14</c:f>
              <c:numCache>
                <c:formatCode>#,##0</c:formatCode>
                <c:ptCount val="1"/>
                <c:pt idx="0">
                  <c:v>5500</c:v>
                </c:pt>
              </c:numCache>
            </c:numRef>
          </c:val>
          <c:smooth val="1"/>
        </c:ser>
        <c:ser>
          <c:idx val="8"/>
          <c:order val="8"/>
          <c:spPr>
            <a:solidFill>
              <a:srgbClr val="b3c992"/>
            </a:solidFill>
            <a:ln w="47520">
              <a:solidFill>
                <a:srgbClr val="b3c99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Timeline'!$J$14</c:f>
              <c:numCache>
                <c:formatCode>#,##0</c:formatCode>
                <c:ptCount val="1"/>
                <c:pt idx="0">
                  <c:v>6250</c:v>
                </c:pt>
              </c:numCache>
            </c:numRef>
          </c:val>
          <c:smooth val="1"/>
        </c:ser>
        <c:ser>
          <c:idx val="9"/>
          <c:order val="9"/>
          <c:spPr>
            <a:solidFill>
              <a:srgbClr val="a596b9"/>
            </a:solidFill>
            <a:ln w="47520">
              <a:solidFill>
                <a:srgbClr val="a596b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Timeline'!$K$14</c:f>
              <c:numCache>
                <c:formatCode>#,##0</c:formatCode>
                <c:ptCount val="1"/>
                <c:pt idx="0">
                  <c:v>6850</c:v>
                </c:pt>
              </c:numCache>
            </c:numRef>
          </c:val>
          <c:smooth val="1"/>
        </c:ser>
        <c:ser>
          <c:idx val="10"/>
          <c:order val="10"/>
          <c:spPr>
            <a:solidFill>
              <a:srgbClr val="8cbfd2"/>
            </a:solidFill>
            <a:ln w="47520">
              <a:solidFill>
                <a:srgbClr val="8cbfd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Timeline'!$L$14</c:f>
              <c:numCache>
                <c:formatCode>#,##0</c:formatCode>
                <c:ptCount val="1"/>
                <c:pt idx="0">
                  <c:v>7200</c:v>
                </c:pt>
              </c:numCache>
            </c:numRef>
          </c:val>
          <c:smooth val="1"/>
        </c:ser>
        <c:ser>
          <c:idx val="11"/>
          <c:order val="11"/>
          <c:spPr>
            <a:solidFill>
              <a:srgbClr val="f5b089"/>
            </a:solidFill>
            <a:ln w="47520">
              <a:solidFill>
                <a:srgbClr val="f5b08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'Cashflow Timeline'!$B$2:$M$2</c:f>
              <c:multiLvlStrCache>
                <c:ptCount val="1"/>
                <c:lvl>
                  <c:pt idx="0">
                    <c:v>Wk 12</c:v>
                  </c:pt>
                </c:lvl>
                <c:lvl>
                  <c:pt idx="0">
                    <c:v>Wk 11</c:v>
                  </c:pt>
                </c:lvl>
                <c:lvl>
                  <c:pt idx="0">
                    <c:v>Wk 10</c:v>
                  </c:pt>
                </c:lvl>
                <c:lvl>
                  <c:pt idx="0">
                    <c:v>Wk 9</c:v>
                  </c:pt>
                </c:lvl>
                <c:lvl>
                  <c:pt idx="0">
                    <c:v>Wk 8</c:v>
                  </c:pt>
                </c:lvl>
                <c:lvl>
                  <c:pt idx="0">
                    <c:v>Wk 7</c:v>
                  </c:pt>
                </c:lvl>
                <c:lvl>
                  <c:pt idx="0">
                    <c:v>Wk 6</c:v>
                  </c:pt>
                </c:lvl>
                <c:lvl>
                  <c:pt idx="0">
                    <c:v>Wk 5</c:v>
                  </c:pt>
                </c:lvl>
                <c:lvl>
                  <c:pt idx="0">
                    <c:v>Wk 4</c:v>
                  </c:pt>
                </c:lvl>
                <c:lvl>
                  <c:pt idx="0">
                    <c:v>Wk 3</c:v>
                  </c:pt>
                </c:lvl>
                <c:lvl>
                  <c:pt idx="0">
                    <c:v>Wk 2</c:v>
                  </c:pt>
                </c:lvl>
                <c:lvl>
                  <c:pt idx="0">
                    <c:v>Wk 1</c:v>
                  </c:pt>
                </c:lvl>
              </c:multiLvlStrCache>
            </c:multiLvlStrRef>
          </c:cat>
          <c:val>
            <c:numRef>
              <c:f>'Cashflow Timeline'!$M$14</c:f>
              <c:numCache>
                <c:formatCode>#,##0</c:formatCode>
                <c:ptCount val="1"/>
                <c:pt idx="0">
                  <c:v>7550</c:v>
                </c:pt>
              </c:numCache>
            </c:numRef>
          </c:val>
          <c:smooth val="1"/>
        </c:ser>
        <c:hiLowLines>
          <c:spPr>
            <a:ln w="0">
              <a:noFill/>
            </a:ln>
          </c:spPr>
        </c:hiLowLines>
        <c:marker val="0"/>
        <c:axId val="18804464"/>
        <c:axId val="79126410"/>
      </c:lineChart>
      <c:catAx>
        <c:axId val="1880446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126410"/>
        <c:crosses val="autoZero"/>
        <c:auto val="1"/>
        <c:lblAlgn val="ctr"/>
        <c:lblOffset val="100"/>
        <c:noMultiLvlLbl val="0"/>
      </c:catAx>
      <c:valAx>
        <c:axId val="791264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044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10</xdr:col>
      <xdr:colOff>236880</xdr:colOff>
      <xdr:row>40</xdr:row>
      <xdr:rowOff>107640</xdr:rowOff>
    </xdr:to>
    <xdr:graphicFrame>
      <xdr:nvGraphicFramePr>
        <xdr:cNvPr id="0" name="Chart 1"/>
        <xdr:cNvGraphicFramePr/>
      </xdr:nvGraphicFramePr>
      <xdr:xfrm>
        <a:off x="0" y="3181320"/>
        <a:ext cx="791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16"/>
    <col collapsed="false" customWidth="true" hidden="false" outlineLevel="0" max="5" min="5" style="0" width="4"/>
    <col collapsed="false" customWidth="true" hidden="false" outlineLevel="0" max="6" min="6" style="0" width="28"/>
    <col collapsed="false" customWidth="true" hidden="false" outlineLevel="0" max="8" min="7" style="0" width="16"/>
  </cols>
  <sheetData>
    <row r="1" customFormat="false" ht="30"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4" customFormat="false" ht="19.5" hidden="false" customHeight="true" outlineLevel="0" collapsed="false">
      <c r="A4" s="3" t="s">
        <v>2</v>
      </c>
      <c r="B4" s="3"/>
      <c r="C4" s="3"/>
      <c r="D4" s="3"/>
    </row>
    <row r="5" customFormat="false" ht="19.5" hidden="false" customHeight="true" outlineLevel="0" collapsed="false">
      <c r="A5" s="4" t="s">
        <v>3</v>
      </c>
      <c r="B5" s="4" t="s">
        <v>4</v>
      </c>
      <c r="C5" s="4" t="s">
        <v>5</v>
      </c>
      <c r="D5" s="4" t="s">
        <v>6</v>
      </c>
    </row>
    <row r="6" customFormat="false" ht="15" hidden="false" customHeight="false" outlineLevel="0" collapsed="false">
      <c r="A6" s="5" t="s">
        <v>7</v>
      </c>
      <c r="B6" s="6" t="n">
        <v>2800</v>
      </c>
      <c r="C6" s="7" t="n">
        <v>0.1</v>
      </c>
      <c r="D6" s="8" t="n">
        <f aca="false">B6*(1+C6)</f>
        <v>3080</v>
      </c>
    </row>
    <row r="7" customFormat="false" ht="15" hidden="false" customHeight="false" outlineLevel="0" collapsed="false">
      <c r="A7" s="9" t="s">
        <v>8</v>
      </c>
      <c r="B7" s="6" t="n">
        <v>6500</v>
      </c>
      <c r="C7" s="7" t="n">
        <v>0.12</v>
      </c>
      <c r="D7" s="10" t="n">
        <f aca="false">B7*(1+C7)</f>
        <v>7280</v>
      </c>
    </row>
    <row r="8" customFormat="false" ht="15" hidden="false" customHeight="false" outlineLevel="0" collapsed="false">
      <c r="A8" s="5" t="s">
        <v>9</v>
      </c>
      <c r="B8" s="6" t="n">
        <v>7200</v>
      </c>
      <c r="C8" s="7" t="n">
        <v>0.1</v>
      </c>
      <c r="D8" s="8" t="n">
        <f aca="false">B8*(1+C8)</f>
        <v>7920</v>
      </c>
    </row>
    <row r="9" customFormat="false" ht="15" hidden="false" customHeight="false" outlineLevel="0" collapsed="false">
      <c r="A9" s="9" t="s">
        <v>10</v>
      </c>
      <c r="B9" s="6" t="n">
        <v>5800</v>
      </c>
      <c r="C9" s="7" t="n">
        <v>0.1</v>
      </c>
      <c r="D9" s="10" t="n">
        <f aca="false">B9*(1+C9)</f>
        <v>6380</v>
      </c>
    </row>
    <row r="10" customFormat="false" ht="15" hidden="false" customHeight="false" outlineLevel="0" collapsed="false">
      <c r="A10" s="5" t="s">
        <v>11</v>
      </c>
      <c r="B10" s="6" t="n">
        <v>4900</v>
      </c>
      <c r="C10" s="7" t="n">
        <v>0.08</v>
      </c>
      <c r="D10" s="8" t="n">
        <f aca="false">B10*(1+C10)</f>
        <v>5292</v>
      </c>
    </row>
    <row r="11" customFormat="false" ht="15" hidden="false" customHeight="false" outlineLevel="0" collapsed="false">
      <c r="A11" s="9" t="s">
        <v>12</v>
      </c>
      <c r="B11" s="6" t="n">
        <v>3200</v>
      </c>
      <c r="C11" s="7" t="n">
        <v>0.08</v>
      </c>
      <c r="D11" s="10" t="n">
        <f aca="false">B11*(1+C11)</f>
        <v>3456</v>
      </c>
    </row>
    <row r="12" customFormat="false" ht="15" hidden="false" customHeight="false" outlineLevel="0" collapsed="false">
      <c r="A12" s="5" t="s">
        <v>13</v>
      </c>
      <c r="B12" s="6" t="n">
        <v>6800</v>
      </c>
      <c r="C12" s="7" t="n">
        <v>0.12</v>
      </c>
      <c r="D12" s="8" t="n">
        <f aca="false">B12*(1+C12)</f>
        <v>7616</v>
      </c>
    </row>
    <row r="13" customFormat="false" ht="15" hidden="false" customHeight="false" outlineLevel="0" collapsed="false">
      <c r="A13" s="9" t="s">
        <v>14</v>
      </c>
      <c r="B13" s="6" t="n">
        <v>2400</v>
      </c>
      <c r="C13" s="7" t="n">
        <v>0.1</v>
      </c>
      <c r="D13" s="10" t="n">
        <f aca="false">B13*(1+C13)</f>
        <v>2640</v>
      </c>
    </row>
    <row r="14" customFormat="false" ht="15" hidden="false" customHeight="false" outlineLevel="0" collapsed="false">
      <c r="A14" s="5" t="s">
        <v>15</v>
      </c>
      <c r="B14" s="6" t="n">
        <v>3100</v>
      </c>
      <c r="C14" s="7" t="n">
        <v>0.08</v>
      </c>
      <c r="D14" s="8" t="n">
        <f aca="false">B14*(1+C14)</f>
        <v>3348</v>
      </c>
    </row>
    <row r="15" customFormat="false" ht="15" hidden="false" customHeight="false" outlineLevel="0" collapsed="false">
      <c r="A15" s="9" t="s">
        <v>16</v>
      </c>
      <c r="B15" s="6" t="n">
        <v>3200</v>
      </c>
      <c r="C15" s="7" t="n">
        <v>0.05</v>
      </c>
      <c r="D15" s="10" t="n">
        <f aca="false">B15*(1+C15)</f>
        <v>3360</v>
      </c>
    </row>
    <row r="16" customFormat="false" ht="15" hidden="false" customHeight="false" outlineLevel="0" collapsed="false">
      <c r="A16" s="5" t="s">
        <v>17</v>
      </c>
      <c r="B16" s="6" t="n">
        <v>2100</v>
      </c>
      <c r="C16" s="7" t="n">
        <v>0.05</v>
      </c>
      <c r="D16" s="8" t="n">
        <f aca="false">B16*(1+C16)</f>
        <v>2205</v>
      </c>
    </row>
    <row r="17" customFormat="false" ht="18" hidden="false" customHeight="true" outlineLevel="0" collapsed="false">
      <c r="A17" s="11" t="s">
        <v>18</v>
      </c>
      <c r="B17" s="12" t="n">
        <f aca="false">SUM(B6:B16)</f>
        <v>48000</v>
      </c>
      <c r="C17" s="13"/>
      <c r="D17" s="12" t="n">
        <f aca="false">SUM(D6:D16)</f>
        <v>52577</v>
      </c>
    </row>
    <row r="20" customFormat="false" ht="19.5" hidden="false" customHeight="true" outlineLevel="0" collapsed="false">
      <c r="A20" s="3" t="s">
        <v>19</v>
      </c>
      <c r="B20" s="3"/>
      <c r="C20" s="3"/>
      <c r="D20" s="3"/>
    </row>
    <row r="21" customFormat="false" ht="15" hidden="false" customHeight="false" outlineLevel="0" collapsed="false">
      <c r="A21" s="4" t="s">
        <v>20</v>
      </c>
      <c r="B21" s="4" t="s">
        <v>21</v>
      </c>
      <c r="C21" s="14" t="s">
        <v>22</v>
      </c>
      <c r="D21" s="15" t="s">
        <v>23</v>
      </c>
    </row>
    <row r="22" customFormat="false" ht="15" hidden="false" customHeight="false" outlineLevel="0" collapsed="false">
      <c r="A22" s="9" t="s">
        <v>24</v>
      </c>
      <c r="B22" s="16" t="n">
        <v>1</v>
      </c>
      <c r="C22" s="17" t="n">
        <v>0.92</v>
      </c>
      <c r="D22" s="18" t="n">
        <v>1.15</v>
      </c>
    </row>
    <row r="23" customFormat="false" ht="15" hidden="false" customHeight="false" outlineLevel="0" collapsed="false">
      <c r="A23" s="9" t="s">
        <v>25</v>
      </c>
      <c r="B23" s="16" t="n">
        <v>1</v>
      </c>
      <c r="C23" s="17" t="n">
        <v>0.95</v>
      </c>
      <c r="D23" s="18" t="n">
        <v>1.2</v>
      </c>
    </row>
    <row r="24" customFormat="false" ht="15" hidden="false" customHeight="false" outlineLevel="0" collapsed="false">
      <c r="A24" s="9" t="s">
        <v>26</v>
      </c>
      <c r="B24" s="6" t="n">
        <v>12</v>
      </c>
      <c r="C24" s="19" t="n">
        <v>10</v>
      </c>
      <c r="D24" s="20" t="n">
        <v>16</v>
      </c>
    </row>
    <row r="25" customFormat="false" ht="15" hidden="false" customHeight="false" outlineLevel="0" collapsed="false">
      <c r="A25" s="9" t="s">
        <v>27</v>
      </c>
      <c r="B25" s="6" t="n">
        <v>2000</v>
      </c>
      <c r="C25" s="19" t="n">
        <v>500</v>
      </c>
      <c r="D25" s="20" t="n">
        <v>5000</v>
      </c>
    </row>
    <row r="26" customFormat="false" ht="15" hidden="false" customHeight="false" outlineLevel="0" collapsed="false">
      <c r="A26" s="9" t="s">
        <v>28</v>
      </c>
      <c r="B26" s="7" t="n">
        <v>0.03</v>
      </c>
      <c r="C26" s="21" t="n">
        <v>0.01</v>
      </c>
      <c r="D26" s="22" t="n">
        <v>0.08</v>
      </c>
    </row>
  </sheetData>
  <mergeCells count="4">
    <mergeCell ref="A1:K1"/>
    <mergeCell ref="A2:K2"/>
    <mergeCell ref="A4:D4"/>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75"/>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7" min="2" style="0" width="18"/>
    <col collapsed="false" customWidth="true" hidden="false" outlineLevel="0" max="8" min="8" style="0" width="4"/>
    <col collapsed="false" customWidth="true" hidden="false" outlineLevel="0" max="9" min="9" style="0" width="20"/>
  </cols>
  <sheetData>
    <row r="1" customFormat="false" ht="27.75" hidden="false" customHeight="true" outlineLevel="0" collapsed="false">
      <c r="A1" s="23" t="s">
        <v>29</v>
      </c>
      <c r="B1" s="23"/>
      <c r="C1" s="23"/>
      <c r="D1" s="23"/>
      <c r="E1" s="23"/>
      <c r="F1" s="23"/>
      <c r="G1" s="23"/>
      <c r="H1" s="23"/>
      <c r="I1" s="23"/>
    </row>
    <row r="2" customFormat="false" ht="15.75" hidden="false" customHeight="true" outlineLevel="0" collapsed="false">
      <c r="A2" s="24" t="s">
        <v>30</v>
      </c>
      <c r="B2" s="24"/>
      <c r="C2" s="24"/>
      <c r="D2" s="24"/>
      <c r="E2" s="24"/>
      <c r="F2" s="24"/>
      <c r="G2" s="24"/>
      <c r="H2" s="24"/>
      <c r="I2" s="24"/>
    </row>
    <row r="3" customFormat="false" ht="21.75" hidden="false" customHeight="true" outlineLevel="0" collapsed="false">
      <c r="A3" s="4" t="s">
        <v>3</v>
      </c>
      <c r="B3" s="4" t="s">
        <v>4</v>
      </c>
      <c r="C3" s="4" t="s">
        <v>31</v>
      </c>
      <c r="D3" s="4" t="s">
        <v>22</v>
      </c>
      <c r="E3" s="4" t="s">
        <v>32</v>
      </c>
      <c r="F3" s="4" t="s">
        <v>23</v>
      </c>
      <c r="G3" s="4" t="s">
        <v>33</v>
      </c>
      <c r="H3" s="25"/>
      <c r="I3" s="4" t="s">
        <v>34</v>
      </c>
    </row>
    <row r="4" customFormat="false" ht="15" hidden="false" customHeight="false" outlineLevel="0" collapsed="false">
      <c r="A4" s="5" t="s">
        <v>7</v>
      </c>
      <c r="B4" s="26" t="n">
        <f aca="false">Assumptions!B6</f>
        <v>2800</v>
      </c>
      <c r="C4" s="8" t="n">
        <f aca="false">B4*(1+Assumptions!C6)*Assumptions!B23</f>
        <v>3080</v>
      </c>
      <c r="D4" s="27" t="n">
        <f aca="false">Assumptions!B6*Assumptions!C23</f>
        <v>2660</v>
      </c>
      <c r="E4" s="28" t="n">
        <f aca="false">D4*(1+Assumptions!C6)</f>
        <v>2926</v>
      </c>
      <c r="F4" s="29" t="n">
        <f aca="false">Assumptions!B6*Assumptions!D23</f>
        <v>3360</v>
      </c>
      <c r="G4" s="30" t="n">
        <f aca="false">F4*(1+Assumptions!C6)</f>
        <v>3696</v>
      </c>
      <c r="H4" s="31"/>
      <c r="I4" s="32" t="n">
        <f aca="false">G4-C4</f>
        <v>616</v>
      </c>
    </row>
    <row r="5" customFormat="false" ht="15" hidden="false" customHeight="false" outlineLevel="0" collapsed="false">
      <c r="A5" s="9" t="s">
        <v>8</v>
      </c>
      <c r="B5" s="33" t="n">
        <f aca="false">Assumptions!B7</f>
        <v>6500</v>
      </c>
      <c r="C5" s="10" t="n">
        <f aca="false">B5*(1+Assumptions!C7)*Assumptions!B22</f>
        <v>7280</v>
      </c>
      <c r="D5" s="27" t="n">
        <f aca="false">Assumptions!B7*Assumptions!C22</f>
        <v>5980</v>
      </c>
      <c r="E5" s="28" t="n">
        <f aca="false">D5*(1+Assumptions!C7)</f>
        <v>6697.6</v>
      </c>
      <c r="F5" s="29" t="n">
        <f aca="false">Assumptions!B7*Assumptions!D22</f>
        <v>7475</v>
      </c>
      <c r="G5" s="30" t="n">
        <f aca="false">F5*(1+Assumptions!C7)</f>
        <v>8372</v>
      </c>
      <c r="H5" s="31"/>
      <c r="I5" s="34" t="n">
        <f aca="false">G5-C5</f>
        <v>1092</v>
      </c>
    </row>
    <row r="6" customFormat="false" ht="15" hidden="false" customHeight="false" outlineLevel="0" collapsed="false">
      <c r="A6" s="5" t="s">
        <v>9</v>
      </c>
      <c r="B6" s="26" t="n">
        <f aca="false">Assumptions!B8</f>
        <v>7200</v>
      </c>
      <c r="C6" s="8" t="n">
        <f aca="false">B6*(1+Assumptions!C8)*Assumptions!B22</f>
        <v>7920</v>
      </c>
      <c r="D6" s="27" t="n">
        <f aca="false">Assumptions!B8*Assumptions!C22</f>
        <v>6624</v>
      </c>
      <c r="E6" s="28" t="n">
        <f aca="false">D6*(1+Assumptions!C8)</f>
        <v>7286.4</v>
      </c>
      <c r="F6" s="29" t="n">
        <f aca="false">Assumptions!B8*Assumptions!D22</f>
        <v>8280</v>
      </c>
      <c r="G6" s="30" t="n">
        <f aca="false">F6*(1+Assumptions!C8)</f>
        <v>9108</v>
      </c>
      <c r="H6" s="31"/>
      <c r="I6" s="32" t="n">
        <f aca="false">G6-C6</f>
        <v>1188</v>
      </c>
    </row>
    <row r="7" customFormat="false" ht="15" hidden="false" customHeight="false" outlineLevel="0" collapsed="false">
      <c r="A7" s="9" t="s">
        <v>10</v>
      </c>
      <c r="B7" s="33" t="n">
        <f aca="false">Assumptions!B9</f>
        <v>5800</v>
      </c>
      <c r="C7" s="10" t="n">
        <f aca="false">B7*(1+Assumptions!C9)*Assumptions!B22</f>
        <v>6380</v>
      </c>
      <c r="D7" s="27" t="n">
        <f aca="false">Assumptions!B9*Assumptions!C22</f>
        <v>5336</v>
      </c>
      <c r="E7" s="28" t="n">
        <f aca="false">D7*(1+Assumptions!C9)</f>
        <v>5869.6</v>
      </c>
      <c r="F7" s="29" t="n">
        <f aca="false">Assumptions!B9*Assumptions!D22</f>
        <v>6670</v>
      </c>
      <c r="G7" s="30" t="n">
        <f aca="false">F7*(1+Assumptions!C9)</f>
        <v>7337</v>
      </c>
      <c r="H7" s="31"/>
      <c r="I7" s="34" t="n">
        <f aca="false">G7-C7</f>
        <v>956.999999999999</v>
      </c>
    </row>
    <row r="8" customFormat="false" ht="15" hidden="false" customHeight="false" outlineLevel="0" collapsed="false">
      <c r="A8" s="5" t="s">
        <v>11</v>
      </c>
      <c r="B8" s="26" t="n">
        <f aca="false">Assumptions!B10</f>
        <v>4900</v>
      </c>
      <c r="C8" s="8" t="n">
        <f aca="false">B8*(1+Assumptions!C10)*Assumptions!B23</f>
        <v>5292</v>
      </c>
      <c r="D8" s="27" t="n">
        <f aca="false">Assumptions!B10*Assumptions!C23</f>
        <v>4655</v>
      </c>
      <c r="E8" s="28" t="n">
        <f aca="false">D8*(1+Assumptions!C10)</f>
        <v>5027.4</v>
      </c>
      <c r="F8" s="29" t="n">
        <f aca="false">Assumptions!B10*Assumptions!D23</f>
        <v>5880</v>
      </c>
      <c r="G8" s="30" t="n">
        <f aca="false">F8*(1+Assumptions!C10)</f>
        <v>6350.4</v>
      </c>
      <c r="H8" s="31"/>
      <c r="I8" s="32" t="n">
        <f aca="false">G8-C8</f>
        <v>1058.4</v>
      </c>
    </row>
    <row r="9" customFormat="false" ht="15" hidden="false" customHeight="false" outlineLevel="0" collapsed="false">
      <c r="A9" s="9" t="s">
        <v>12</v>
      </c>
      <c r="B9" s="33" t="n">
        <f aca="false">Assumptions!B11</f>
        <v>3200</v>
      </c>
      <c r="C9" s="10" t="n">
        <f aca="false">B9*(1+Assumptions!C11)*Assumptions!B23</f>
        <v>3456</v>
      </c>
      <c r="D9" s="27" t="n">
        <f aca="false">Assumptions!B11*Assumptions!C23</f>
        <v>3040</v>
      </c>
      <c r="E9" s="28" t="n">
        <f aca="false">D9*(1+Assumptions!C11)</f>
        <v>3283.2</v>
      </c>
      <c r="F9" s="29" t="n">
        <f aca="false">Assumptions!B11*Assumptions!D23</f>
        <v>3840</v>
      </c>
      <c r="G9" s="30" t="n">
        <f aca="false">F9*(1+Assumptions!C11)</f>
        <v>4147.2</v>
      </c>
      <c r="H9" s="31"/>
      <c r="I9" s="34" t="n">
        <f aca="false">G9-C9</f>
        <v>691.200000000001</v>
      </c>
    </row>
    <row r="10" customFormat="false" ht="15" hidden="false" customHeight="false" outlineLevel="0" collapsed="false">
      <c r="A10" s="5" t="s">
        <v>13</v>
      </c>
      <c r="B10" s="26" t="n">
        <f aca="false">Assumptions!B12</f>
        <v>6800</v>
      </c>
      <c r="C10" s="8" t="n">
        <f aca="false">B10*(1+Assumptions!C12)*Assumptions!B23</f>
        <v>7616</v>
      </c>
      <c r="D10" s="27" t="n">
        <f aca="false">Assumptions!B12*Assumptions!C23</f>
        <v>6460</v>
      </c>
      <c r="E10" s="28" t="n">
        <f aca="false">D10*(1+Assumptions!C12)</f>
        <v>7235.2</v>
      </c>
      <c r="F10" s="29" t="n">
        <f aca="false">Assumptions!B12*Assumptions!D23</f>
        <v>8160</v>
      </c>
      <c r="G10" s="30" t="n">
        <f aca="false">F10*(1+Assumptions!C12)</f>
        <v>9139.2</v>
      </c>
      <c r="H10" s="31"/>
      <c r="I10" s="32" t="n">
        <f aca="false">G10-C10</f>
        <v>1523.2</v>
      </c>
    </row>
    <row r="11" customFormat="false" ht="15" hidden="false" customHeight="false" outlineLevel="0" collapsed="false">
      <c r="A11" s="9" t="s">
        <v>14</v>
      </c>
      <c r="B11" s="33" t="n">
        <f aca="false">Assumptions!B13</f>
        <v>2400</v>
      </c>
      <c r="C11" s="10" t="n">
        <f aca="false">B11*(1+Assumptions!C13)*Assumptions!B23</f>
        <v>2640</v>
      </c>
      <c r="D11" s="27" t="n">
        <f aca="false">Assumptions!B13*Assumptions!C23</f>
        <v>2280</v>
      </c>
      <c r="E11" s="28" t="n">
        <f aca="false">D11*(1+Assumptions!C13)</f>
        <v>2508</v>
      </c>
      <c r="F11" s="29" t="n">
        <f aca="false">Assumptions!B13*Assumptions!D23</f>
        <v>2880</v>
      </c>
      <c r="G11" s="30" t="n">
        <f aca="false">F11*(1+Assumptions!C13)</f>
        <v>3168</v>
      </c>
      <c r="H11" s="31"/>
      <c r="I11" s="34" t="n">
        <f aca="false">G11-C11</f>
        <v>528.000000000001</v>
      </c>
    </row>
    <row r="12" customFormat="false" ht="15" hidden="false" customHeight="false" outlineLevel="0" collapsed="false">
      <c r="A12" s="5" t="s">
        <v>15</v>
      </c>
      <c r="B12" s="26" t="n">
        <f aca="false">Assumptions!B14</f>
        <v>3100</v>
      </c>
      <c r="C12" s="8" t="n">
        <f aca="false">B12*(1+Assumptions!C14)*Assumptions!B23</f>
        <v>3348</v>
      </c>
      <c r="D12" s="27" t="n">
        <f aca="false">Assumptions!B14*Assumptions!C23</f>
        <v>2945</v>
      </c>
      <c r="E12" s="28" t="n">
        <f aca="false">D12*(1+Assumptions!C14)</f>
        <v>3180.6</v>
      </c>
      <c r="F12" s="29" t="n">
        <f aca="false">Assumptions!B14*Assumptions!D23</f>
        <v>3720</v>
      </c>
      <c r="G12" s="30" t="n">
        <f aca="false">F12*(1+Assumptions!C14)</f>
        <v>4017.6</v>
      </c>
      <c r="H12" s="31"/>
      <c r="I12" s="32" t="n">
        <f aca="false">G12-C12</f>
        <v>669.6</v>
      </c>
    </row>
    <row r="13" customFormat="false" ht="15" hidden="false" customHeight="false" outlineLevel="0" collapsed="false">
      <c r="A13" s="9" t="s">
        <v>16</v>
      </c>
      <c r="B13" s="33" t="n">
        <f aca="false">Assumptions!B15</f>
        <v>3200</v>
      </c>
      <c r="C13" s="10" t="n">
        <f aca="false">B13*(1+Assumptions!C15)*Assumptions!B22</f>
        <v>3360</v>
      </c>
      <c r="D13" s="27" t="n">
        <f aca="false">Assumptions!B15*Assumptions!C22</f>
        <v>2944</v>
      </c>
      <c r="E13" s="28" t="n">
        <f aca="false">D13*(1+Assumptions!C15)</f>
        <v>3091.2</v>
      </c>
      <c r="F13" s="29" t="n">
        <f aca="false">Assumptions!B15*Assumptions!D22</f>
        <v>3680</v>
      </c>
      <c r="G13" s="30" t="n">
        <f aca="false">F13*(1+Assumptions!C15)</f>
        <v>3864</v>
      </c>
      <c r="H13" s="31"/>
      <c r="I13" s="34" t="n">
        <f aca="false">G13-C13</f>
        <v>504</v>
      </c>
    </row>
    <row r="14" customFormat="false" ht="15" hidden="false" customHeight="false" outlineLevel="0" collapsed="false">
      <c r="A14" s="5" t="s">
        <v>17</v>
      </c>
      <c r="B14" s="26" t="n">
        <f aca="false">Assumptions!B16</f>
        <v>2100</v>
      </c>
      <c r="C14" s="8" t="n">
        <f aca="false">B14*(1+Assumptions!C16)*Assumptions!B23</f>
        <v>2205</v>
      </c>
      <c r="D14" s="27" t="n">
        <f aca="false">Assumptions!B16*Assumptions!C23</f>
        <v>1995</v>
      </c>
      <c r="E14" s="28" t="n">
        <f aca="false">D14*(1+Assumptions!C16)</f>
        <v>2094.75</v>
      </c>
      <c r="F14" s="29" t="n">
        <f aca="false">Assumptions!B16*Assumptions!D23</f>
        <v>2520</v>
      </c>
      <c r="G14" s="30" t="n">
        <f aca="false">F14*(1+Assumptions!C16)</f>
        <v>2646</v>
      </c>
      <c r="H14" s="31"/>
      <c r="I14" s="32" t="n">
        <f aca="false">G14-C14</f>
        <v>441</v>
      </c>
    </row>
    <row r="15" customFormat="false" ht="15" hidden="false" customHeight="false" outlineLevel="0" collapsed="false">
      <c r="A15" s="11" t="s">
        <v>35</v>
      </c>
      <c r="B15" s="12" t="n">
        <f aca="false">SUM(B4:B14)</f>
        <v>48000</v>
      </c>
      <c r="C15" s="12" t="n">
        <f aca="false">SUM(C4:C14)</f>
        <v>52577</v>
      </c>
      <c r="D15" s="12" t="n">
        <f aca="false">SUM(D4:D14)</f>
        <v>44919</v>
      </c>
      <c r="E15" s="12" t="n">
        <f aca="false">SUM(E4:E14)</f>
        <v>49199.95</v>
      </c>
      <c r="F15" s="12" t="n">
        <f aca="false">SUM(F4:F14)</f>
        <v>56465</v>
      </c>
      <c r="G15" s="12" t="n">
        <f aca="false">SUM(G4:G14)</f>
        <v>61845.4</v>
      </c>
      <c r="H15" s="31"/>
      <c r="I15" s="12" t="n">
        <f aca="false">SUM(I4:I14)</f>
        <v>9268.4</v>
      </c>
    </row>
    <row r="16" customFormat="false" ht="7.5" hidden="false" customHeight="true" outlineLevel="0" collapsed="false"/>
    <row r="17" customFormat="false" ht="19.5" hidden="false" customHeight="true" outlineLevel="0" collapsed="false">
      <c r="A17" s="3" t="s">
        <v>36</v>
      </c>
      <c r="B17" s="3"/>
      <c r="C17" s="3"/>
      <c r="D17" s="3"/>
      <c r="E17" s="3"/>
      <c r="F17" s="3"/>
      <c r="G17" s="3"/>
      <c r="H17" s="3"/>
      <c r="I17" s="3"/>
    </row>
    <row r="18" customFormat="false" ht="15" hidden="false" customHeight="false" outlineLevel="0" collapsed="false">
      <c r="A18" s="5" t="s">
        <v>37</v>
      </c>
      <c r="B18" s="35"/>
      <c r="C18" s="26" t="n">
        <f aca="false">Assumptions!B25</f>
        <v>2000</v>
      </c>
      <c r="D18" s="36"/>
      <c r="E18" s="27" t="n">
        <f aca="false">Assumptions!C25</f>
        <v>500</v>
      </c>
      <c r="F18" s="37"/>
      <c r="G18" s="29" t="n">
        <f aca="false">Assumptions!D25</f>
        <v>5000</v>
      </c>
      <c r="H18" s="31"/>
      <c r="I18" s="32" t="n">
        <f aca="false">G18-C18</f>
        <v>3000</v>
      </c>
    </row>
    <row r="19" customFormat="false" ht="15" hidden="false" customHeight="false" outlineLevel="0" collapsed="false">
      <c r="A19" s="9" t="s">
        <v>38</v>
      </c>
      <c r="B19" s="38"/>
      <c r="C19" s="33" t="n">
        <f aca="false">C15*Assumptions!B26</f>
        <v>1577.31</v>
      </c>
      <c r="D19" s="36"/>
      <c r="E19" s="27" t="n">
        <f aca="false">E15*Assumptions!C26</f>
        <v>491.9995</v>
      </c>
      <c r="F19" s="37"/>
      <c r="G19" s="29" t="n">
        <f aca="false">G15*Assumptions!D26</f>
        <v>4947.632</v>
      </c>
      <c r="H19" s="31"/>
      <c r="I19" s="34" t="n">
        <f aca="false">G19-C19</f>
        <v>3370.322</v>
      </c>
    </row>
    <row r="20" customFormat="false" ht="15" hidden="false" customHeight="false" outlineLevel="0" collapsed="false">
      <c r="A20" s="11" t="s">
        <v>39</v>
      </c>
      <c r="C20" s="12" t="n">
        <f aca="false">C15+C18+C19</f>
        <v>56154.31</v>
      </c>
      <c r="D20" s="39" t="n">
        <f aca="false">E15+E18+E19</f>
        <v>50191.9495</v>
      </c>
      <c r="E20" s="40" t="n">
        <f aca="false">G15+G18+G19</f>
        <v>71793.032</v>
      </c>
    </row>
    <row r="22" customFormat="false" ht="15" hidden="false" customHeight="false" outlineLevel="0" collapsed="false">
      <c r="A22" s="41" t="s">
        <v>40</v>
      </c>
      <c r="C22" s="42" t="n">
        <v>48000</v>
      </c>
    </row>
    <row r="23" customFormat="false" ht="15" hidden="false" customHeight="false" outlineLevel="0" collapsed="false">
      <c r="A23" s="41" t="s">
        <v>41</v>
      </c>
      <c r="C23" s="43" t="n">
        <f aca="false">C22-C20</f>
        <v>-8154.31000000001</v>
      </c>
      <c r="E23" s="43" t="n">
        <f aca="false">C22-E20</f>
        <v>-23793.032</v>
      </c>
      <c r="G23" s="43" t="n">
        <f aca="false">C22-G20</f>
        <v>48000</v>
      </c>
    </row>
  </sheetData>
  <mergeCells count="3">
    <mergeCell ref="A1:I1"/>
    <mergeCell ref="A2:I2"/>
    <mergeCell ref="A17:I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N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13" min="2" style="0" width="9"/>
    <col collapsed="false" customWidth="true" hidden="false" outlineLevel="0" max="14" min="14" style="0" width="12"/>
  </cols>
  <sheetData>
    <row r="1" customFormat="false" ht="25.5" hidden="false" customHeight="true" outlineLevel="0" collapsed="false">
      <c r="A1" s="44" t="s">
        <v>42</v>
      </c>
      <c r="B1" s="44"/>
      <c r="C1" s="44"/>
      <c r="D1" s="44"/>
      <c r="E1" s="44"/>
      <c r="F1" s="44"/>
      <c r="G1" s="44"/>
      <c r="H1" s="44"/>
      <c r="I1" s="44"/>
      <c r="J1" s="44"/>
      <c r="K1" s="44"/>
      <c r="L1" s="44"/>
      <c r="M1" s="44"/>
      <c r="N1" s="44"/>
    </row>
    <row r="2" customFormat="false" ht="15" hidden="false" customHeight="false" outlineLevel="0" collapsed="false">
      <c r="A2" s="4" t="s">
        <v>43</v>
      </c>
      <c r="B2" s="4" t="s">
        <v>44</v>
      </c>
      <c r="C2" s="4" t="s">
        <v>45</v>
      </c>
      <c r="D2" s="4" t="s">
        <v>46</v>
      </c>
      <c r="E2" s="4" t="s">
        <v>47</v>
      </c>
      <c r="F2" s="4" t="s">
        <v>48</v>
      </c>
      <c r="G2" s="4" t="s">
        <v>49</v>
      </c>
      <c r="H2" s="4" t="s">
        <v>50</v>
      </c>
      <c r="I2" s="4" t="s">
        <v>51</v>
      </c>
      <c r="J2" s="4" t="s">
        <v>52</v>
      </c>
      <c r="K2" s="4" t="s">
        <v>53</v>
      </c>
      <c r="L2" s="4" t="s">
        <v>54</v>
      </c>
      <c r="M2" s="4" t="s">
        <v>55</v>
      </c>
      <c r="N2" s="45" t="s">
        <v>56</v>
      </c>
    </row>
    <row r="3" customFormat="false" ht="15" hidden="false" customHeight="false" outlineLevel="0" collapsed="false">
      <c r="A3" s="9" t="s">
        <v>7</v>
      </c>
      <c r="B3" s="10" t="n">
        <v>100</v>
      </c>
      <c r="C3" s="10" t="n">
        <v>100</v>
      </c>
      <c r="D3" s="10" t="n">
        <v>100</v>
      </c>
      <c r="E3" s="10"/>
      <c r="F3" s="10"/>
      <c r="G3" s="10"/>
      <c r="H3" s="10"/>
      <c r="I3" s="10"/>
      <c r="J3" s="10"/>
      <c r="K3" s="10"/>
      <c r="L3" s="10"/>
      <c r="M3" s="10"/>
      <c r="N3" s="46" t="n">
        <f aca="false">SUM(B3:M3)</f>
        <v>300</v>
      </c>
    </row>
    <row r="4" customFormat="false" ht="15" hidden="false" customHeight="false" outlineLevel="0" collapsed="false">
      <c r="A4" s="5" t="s">
        <v>8</v>
      </c>
      <c r="B4" s="8"/>
      <c r="C4" s="8" t="n">
        <v>200</v>
      </c>
      <c r="D4" s="8" t="n">
        <v>400</v>
      </c>
      <c r="E4" s="8" t="n">
        <v>300</v>
      </c>
      <c r="F4" s="8" t="n">
        <v>200</v>
      </c>
      <c r="G4" s="8"/>
      <c r="H4" s="8"/>
      <c r="I4" s="8"/>
      <c r="J4" s="8"/>
      <c r="K4" s="8"/>
      <c r="L4" s="8"/>
      <c r="M4" s="8"/>
      <c r="N4" s="47" t="n">
        <f aca="false">SUM(B4:M4)</f>
        <v>1100</v>
      </c>
    </row>
    <row r="5" customFormat="false" ht="15" hidden="false" customHeight="false" outlineLevel="0" collapsed="false">
      <c r="A5" s="9" t="s">
        <v>9</v>
      </c>
      <c r="B5" s="10"/>
      <c r="C5" s="10"/>
      <c r="D5" s="10" t="n">
        <v>150</v>
      </c>
      <c r="E5" s="10" t="n">
        <v>300</v>
      </c>
      <c r="F5" s="10" t="n">
        <v>300</v>
      </c>
      <c r="G5" s="10" t="n">
        <v>300</v>
      </c>
      <c r="H5" s="10" t="n">
        <v>200</v>
      </c>
      <c r="I5" s="10"/>
      <c r="J5" s="10"/>
      <c r="K5" s="10"/>
      <c r="L5" s="10"/>
      <c r="M5" s="10"/>
      <c r="N5" s="46" t="n">
        <f aca="false">SUM(B5:M5)</f>
        <v>1250</v>
      </c>
    </row>
    <row r="6" customFormat="false" ht="15" hidden="false" customHeight="false" outlineLevel="0" collapsed="false">
      <c r="A6" s="5" t="s">
        <v>10</v>
      </c>
      <c r="B6" s="8"/>
      <c r="C6" s="8"/>
      <c r="D6" s="8"/>
      <c r="E6" s="8" t="n">
        <v>200</v>
      </c>
      <c r="F6" s="8" t="n">
        <v>300</v>
      </c>
      <c r="G6" s="8" t="n">
        <v>250</v>
      </c>
      <c r="H6" s="8" t="n">
        <v>150</v>
      </c>
      <c r="I6" s="8"/>
      <c r="J6" s="8"/>
      <c r="K6" s="8"/>
      <c r="L6" s="8"/>
      <c r="M6" s="8"/>
      <c r="N6" s="47" t="n">
        <f aca="false">SUM(B6:M6)</f>
        <v>900</v>
      </c>
    </row>
    <row r="7" customFormat="false" ht="15" hidden="false" customHeight="false" outlineLevel="0" collapsed="false">
      <c r="A7" s="9" t="s">
        <v>57</v>
      </c>
      <c r="B7" s="10"/>
      <c r="C7" s="10"/>
      <c r="D7" s="10"/>
      <c r="E7" s="10"/>
      <c r="F7" s="10"/>
      <c r="G7" s="10" t="n">
        <v>200</v>
      </c>
      <c r="H7" s="10" t="n">
        <v>400</v>
      </c>
      <c r="I7" s="10" t="n">
        <v>300</v>
      </c>
      <c r="J7" s="10"/>
      <c r="K7" s="10"/>
      <c r="L7" s="10"/>
      <c r="M7" s="10"/>
      <c r="N7" s="46" t="n">
        <f aca="false">SUM(B7:M7)</f>
        <v>900</v>
      </c>
    </row>
    <row r="8" customFormat="false" ht="15" hidden="false" customHeight="false" outlineLevel="0" collapsed="false">
      <c r="A8" s="5" t="s">
        <v>12</v>
      </c>
      <c r="B8" s="8"/>
      <c r="C8" s="8"/>
      <c r="D8" s="8"/>
      <c r="E8" s="8"/>
      <c r="F8" s="8"/>
      <c r="G8" s="8"/>
      <c r="H8" s="8" t="n">
        <v>150</v>
      </c>
      <c r="I8" s="8" t="n">
        <v>300</v>
      </c>
      <c r="J8" s="8" t="n">
        <v>200</v>
      </c>
      <c r="K8" s="8"/>
      <c r="L8" s="8"/>
      <c r="M8" s="8"/>
      <c r="N8" s="47" t="n">
        <f aca="false">SUM(B8:M8)</f>
        <v>650</v>
      </c>
    </row>
    <row r="9" customFormat="false" ht="15" hidden="false" customHeight="false" outlineLevel="0" collapsed="false">
      <c r="A9" s="9" t="s">
        <v>13</v>
      </c>
      <c r="B9" s="10"/>
      <c r="C9" s="10"/>
      <c r="D9" s="10"/>
      <c r="E9" s="10"/>
      <c r="F9" s="10"/>
      <c r="G9" s="10"/>
      <c r="H9" s="10"/>
      <c r="I9" s="10" t="n">
        <v>200</v>
      </c>
      <c r="J9" s="10" t="n">
        <v>400</v>
      </c>
      <c r="K9" s="10" t="n">
        <v>350</v>
      </c>
      <c r="L9" s="10"/>
      <c r="M9" s="10"/>
      <c r="N9" s="46" t="n">
        <f aca="false">SUM(B9:M9)</f>
        <v>950</v>
      </c>
    </row>
    <row r="10" customFormat="false" ht="15" hidden="false" customHeight="false" outlineLevel="0" collapsed="false">
      <c r="A10" s="5" t="s">
        <v>58</v>
      </c>
      <c r="B10" s="8"/>
      <c r="C10" s="8"/>
      <c r="D10" s="8"/>
      <c r="E10" s="8"/>
      <c r="F10" s="8"/>
      <c r="G10" s="8"/>
      <c r="H10" s="8"/>
      <c r="I10" s="8"/>
      <c r="J10" s="8" t="n">
        <v>100</v>
      </c>
      <c r="K10" s="8" t="n">
        <v>200</v>
      </c>
      <c r="L10" s="8" t="n">
        <v>100</v>
      </c>
      <c r="M10" s="8"/>
      <c r="N10" s="47" t="n">
        <f aca="false">SUM(B10:M10)</f>
        <v>400</v>
      </c>
    </row>
    <row r="11" customFormat="false" ht="15" hidden="false" customHeight="false" outlineLevel="0" collapsed="false">
      <c r="A11" s="9" t="s">
        <v>15</v>
      </c>
      <c r="B11" s="10"/>
      <c r="C11" s="10"/>
      <c r="D11" s="10"/>
      <c r="E11" s="10"/>
      <c r="F11" s="10"/>
      <c r="G11" s="10"/>
      <c r="H11" s="10"/>
      <c r="I11" s="10"/>
      <c r="J11" s="10"/>
      <c r="K11" s="10"/>
      <c r="L11" s="10" t="n">
        <v>200</v>
      </c>
      <c r="M11" s="10" t="n">
        <v>300</v>
      </c>
      <c r="N11" s="46" t="n">
        <f aca="false">SUM(B11:M11)</f>
        <v>500</v>
      </c>
    </row>
    <row r="12" customFormat="false" ht="15" hidden="false" customHeight="false" outlineLevel="0" collapsed="false">
      <c r="A12" s="5" t="s">
        <v>59</v>
      </c>
      <c r="B12" s="8" t="n">
        <v>50</v>
      </c>
      <c r="C12" s="8" t="n">
        <v>50</v>
      </c>
      <c r="D12" s="8" t="n">
        <v>50</v>
      </c>
      <c r="E12" s="8" t="n">
        <v>50</v>
      </c>
      <c r="F12" s="8" t="n">
        <v>50</v>
      </c>
      <c r="G12" s="8" t="n">
        <v>50</v>
      </c>
      <c r="H12" s="8" t="n">
        <v>50</v>
      </c>
      <c r="I12" s="8" t="n">
        <v>50</v>
      </c>
      <c r="J12" s="8" t="n">
        <v>50</v>
      </c>
      <c r="K12" s="8" t="n">
        <v>50</v>
      </c>
      <c r="L12" s="8" t="n">
        <v>50</v>
      </c>
      <c r="M12" s="8" t="n">
        <v>50</v>
      </c>
      <c r="N12" s="47" t="n">
        <f aca="false">SUM(B12:M12)</f>
        <v>600</v>
      </c>
    </row>
    <row r="13" customFormat="false" ht="15" hidden="false" customHeight="false" outlineLevel="0" collapsed="false">
      <c r="A13" s="11" t="s">
        <v>60</v>
      </c>
      <c r="B13" s="12" t="n">
        <f aca="false">SUM(B3:B12)</f>
        <v>150</v>
      </c>
      <c r="C13" s="12" t="n">
        <f aca="false">SUM(C3:C12)</f>
        <v>350</v>
      </c>
      <c r="D13" s="12" t="n">
        <f aca="false">SUM(D3:D12)</f>
        <v>700</v>
      </c>
      <c r="E13" s="12" t="n">
        <f aca="false">SUM(E3:E12)</f>
        <v>850</v>
      </c>
      <c r="F13" s="12" t="n">
        <f aca="false">SUM(F3:F12)</f>
        <v>850</v>
      </c>
      <c r="G13" s="12" t="n">
        <f aca="false">SUM(G3:G12)</f>
        <v>800</v>
      </c>
      <c r="H13" s="12" t="n">
        <f aca="false">SUM(H3:H12)</f>
        <v>950</v>
      </c>
      <c r="I13" s="12" t="n">
        <f aca="false">SUM(I3:I12)</f>
        <v>850</v>
      </c>
      <c r="J13" s="12" t="n">
        <f aca="false">SUM(J3:J12)</f>
        <v>750</v>
      </c>
      <c r="K13" s="12" t="n">
        <f aca="false">SUM(K3:K12)</f>
        <v>600</v>
      </c>
      <c r="L13" s="12" t="n">
        <f aca="false">SUM(L3:L12)</f>
        <v>350</v>
      </c>
      <c r="M13" s="12" t="n">
        <f aca="false">SUM(M3:M12)</f>
        <v>350</v>
      </c>
      <c r="N13" s="12" t="n">
        <f aca="false">SUM(N3:N12)</f>
        <v>7550</v>
      </c>
    </row>
    <row r="14" customFormat="false" ht="15" hidden="false" customHeight="false" outlineLevel="0" collapsed="false">
      <c r="A14" s="41" t="s">
        <v>61</v>
      </c>
      <c r="B14" s="8" t="n">
        <f aca="false">B13</f>
        <v>150</v>
      </c>
      <c r="C14" s="8" t="n">
        <f aca="false">B14+C13</f>
        <v>500</v>
      </c>
      <c r="D14" s="8" t="n">
        <f aca="false">C14+D13</f>
        <v>1200</v>
      </c>
      <c r="E14" s="8" t="n">
        <f aca="false">D14+E13</f>
        <v>2050</v>
      </c>
      <c r="F14" s="8" t="n">
        <f aca="false">E14+F13</f>
        <v>2900</v>
      </c>
      <c r="G14" s="8" t="n">
        <f aca="false">F14+G13</f>
        <v>3700</v>
      </c>
      <c r="H14" s="8" t="n">
        <f aca="false">G14+H13</f>
        <v>4650</v>
      </c>
      <c r="I14" s="8" t="n">
        <f aca="false">H14+I13</f>
        <v>5500</v>
      </c>
      <c r="J14" s="8" t="n">
        <f aca="false">I14+J13</f>
        <v>6250</v>
      </c>
      <c r="K14" s="8" t="n">
        <f aca="false">J14+K13</f>
        <v>6850</v>
      </c>
      <c r="L14" s="8" t="n">
        <f aca="false">K14+L13</f>
        <v>7200</v>
      </c>
      <c r="M14" s="8" t="n">
        <f aca="false">L14+M13</f>
        <v>7550</v>
      </c>
      <c r="N14" s="31"/>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2: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0"/>
  </cols>
  <sheetData>
    <row r="2" customFormat="false" ht="18" hidden="false" customHeight="true" outlineLevel="0" collapsed="false">
      <c r="A2" s="48" t="s">
        <v>62</v>
      </c>
      <c r="B2" s="49" t="s">
        <v>63</v>
      </c>
    </row>
    <row r="3" customFormat="false" ht="18" hidden="false" customHeight="true" outlineLevel="0" collapsed="false">
      <c r="A3" s="48" t="s">
        <v>64</v>
      </c>
      <c r="B3" s="49" t="s">
        <v>65</v>
      </c>
    </row>
    <row r="4" customFormat="false" ht="30" hidden="false" customHeight="true" outlineLevel="0" collapsed="false">
      <c r="A4" s="48" t="s">
        <v>66</v>
      </c>
      <c r="B4" s="49" t="s">
        <v>67</v>
      </c>
    </row>
    <row r="5" customFormat="false" ht="18" hidden="false" customHeight="true" outlineLevel="0" collapsed="false">
      <c r="A5" s="50"/>
      <c r="B5" s="49"/>
    </row>
    <row r="6" customFormat="false" ht="30" hidden="false" customHeight="true" outlineLevel="0" collapsed="false">
      <c r="A6" s="48" t="s">
        <v>68</v>
      </c>
      <c r="B6" s="49" t="s">
        <v>69</v>
      </c>
    </row>
    <row r="7" customFormat="false" ht="18" hidden="false" customHeight="true" outlineLevel="0" collapsed="false">
      <c r="A7" s="50"/>
      <c r="B7" s="49"/>
    </row>
    <row r="8" customFormat="false" ht="30" hidden="false" customHeight="true" outlineLevel="0" collapsed="false">
      <c r="A8" s="48" t="s">
        <v>70</v>
      </c>
      <c r="B8" s="49" t="s">
        <v>71</v>
      </c>
    </row>
    <row r="9" customFormat="false" ht="18" hidden="false" customHeight="true" outlineLevel="0" collapsed="false">
      <c r="A9" s="50"/>
      <c r="B9" s="49"/>
    </row>
    <row r="10" customFormat="false" ht="30" hidden="false" customHeight="true" outlineLevel="0" collapsed="false">
      <c r="A10" s="48" t="s">
        <v>72</v>
      </c>
      <c r="B10" s="49" t="s">
        <v>73</v>
      </c>
    </row>
    <row r="11" customFormat="false" ht="18" hidden="false" customHeight="true" outlineLevel="0" collapsed="false">
      <c r="A11" s="50"/>
      <c r="B11" s="49"/>
    </row>
    <row r="12" customFormat="false" ht="18" hidden="false" customHeight="true" outlineLevel="0" collapsed="false">
      <c r="A12" s="48" t="s">
        <v>74</v>
      </c>
      <c r="B12" s="49"/>
    </row>
    <row r="13" customFormat="false" ht="18" hidden="false" customHeight="true" outlineLevel="0" collapsed="false">
      <c r="A13" s="50" t="s">
        <v>75</v>
      </c>
      <c r="B13" s="49" t="s">
        <v>76</v>
      </c>
    </row>
    <row r="14" customFormat="false" ht="18" hidden="false" customHeight="true" outlineLevel="0" collapsed="false">
      <c r="A14" s="50" t="s">
        <v>77</v>
      </c>
      <c r="B14" s="49" t="s">
        <v>78</v>
      </c>
    </row>
    <row r="15" customFormat="false" ht="18" hidden="false" customHeight="true" outlineLevel="0" collapsed="false">
      <c r="A15" s="50" t="s">
        <v>79</v>
      </c>
      <c r="B15" s="49" t="s">
        <v>80</v>
      </c>
    </row>
    <row r="16" customFormat="false" ht="18" hidden="false" customHeight="true" outlineLevel="0" collapsed="false">
      <c r="A16" s="50" t="s">
        <v>81</v>
      </c>
      <c r="B16" s="49"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2026-04-22T14:40:45Z</dcterms:created>
  <dc:creator>openpyxl</dc:creator>
  <dc:description/>
  <dc:language>en-US</dc:language>
  <cp:lastModifiedBy/>
  <dcterms:modified xsi:type="dcterms:W3CDTF">2026-04-22T14:40:50Z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